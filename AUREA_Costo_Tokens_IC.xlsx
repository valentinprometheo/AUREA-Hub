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  <sheet name="Cuadro" sheetId="2" state="visible" r:id="rId2"/>
    <sheet name="Medido en esta sesión" sheetId="3" state="visible" r:id="rId3"/>
    <sheet name="Tableros medidos" sheetId="4" state="visible" r:id="rId4"/>
    <sheet name="Escenario optimiza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&quot;x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6B4FBB"/>
      </patternFill>
    </fill>
    <fill>
      <patternFill patternType="solid">
        <fgColor rgb="00EEF0FF"/>
      </patternFill>
    </fill>
    <fill>
      <patternFill patternType="solid">
        <fgColor rgb="002E7D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64" fontId="0" fillId="3" borderId="0" pivotButton="0" quotePrefix="0" xfId="0"/>
    <xf numFmtId="9" fontId="0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164" fontId="0" fillId="0" borderId="0" pivotButton="0" quotePrefix="0" xfId="0"/>
    <xf numFmtId="3" fontId="1" fillId="0" borderId="0" pivotButton="0" quotePrefix="0" xfId="0"/>
    <xf numFmtId="164" fontId="1" fillId="0" borderId="0" pivotButton="0" quotePrefix="0" xfId="0"/>
    <xf numFmtId="0" fontId="2" fillId="2" borderId="0" applyAlignment="1" pivotButton="0" quotePrefix="0" xfId="0">
      <alignment wrapText="1"/>
    </xf>
    <xf numFmtId="165" fontId="0" fillId="3" borderId="0" pivotButton="0" quotePrefix="0" xfId="0"/>
    <xf numFmtId="0" fontId="2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90" customWidth="1" min="4" max="4"/>
  </cols>
  <sheetData>
    <row r="1">
      <c r="A1" s="1" t="inlineStr">
        <is>
          <t>Precio por millón de tokens (USD) · API de Anthropic · celdas azules editables</t>
        </is>
      </c>
    </row>
    <row r="3">
      <c r="A3" s="2" t="inlineStr">
        <is>
          <t>Tipo de token</t>
        </is>
      </c>
      <c r="B3" s="2" t="inlineStr">
        <is>
          <t>Opus 5.5</t>
        </is>
      </c>
      <c r="C3" s="2" t="inlineStr">
        <is>
          <t>Sonnet 5.5</t>
        </is>
      </c>
      <c r="D3" s="2" t="inlineStr">
        <is>
          <t>Qué es</t>
        </is>
      </c>
    </row>
    <row r="4">
      <c r="A4" t="inlineStr">
        <is>
          <t>Lectura de caché</t>
        </is>
      </c>
      <c r="B4" s="3" t="n">
        <v>0.2</v>
      </c>
      <c r="C4" s="3" t="n">
        <v>0.2</v>
      </c>
      <c r="D4" t="inlineStr">
        <is>
          <t>Contexto que ya estaba (tablero, skills, conversación) y se vuelve a leer en cada paso</t>
        </is>
      </c>
    </row>
    <row r="5">
      <c r="A5" t="inlineStr">
        <is>
          <t>Escritura de caché (1 hora)</t>
        </is>
      </c>
      <c r="B5" s="3" t="n">
        <v>8</v>
      </c>
      <c r="C5" s="3" t="n">
        <v>4</v>
      </c>
      <c r="D5" t="inlineStr">
        <is>
          <t>Contexto nuevo que entra por primera vez: datos, resultados de scripts, capturas</t>
        </is>
      </c>
    </row>
    <row r="6">
      <c r="A6" t="inlineStr">
        <is>
          <t>Salida</t>
        </is>
      </c>
      <c r="B6" s="3" t="n">
        <v>20</v>
      </c>
      <c r="C6" s="3" t="n">
        <v>10</v>
      </c>
      <c r="D6" t="inlineStr">
        <is>
          <t>Lo que escribe Claude: código del tablero, textos, insights</t>
        </is>
      </c>
    </row>
    <row r="7">
      <c r="A7" t="inlineStr">
        <is>
          <t>Entrada sin caché</t>
        </is>
      </c>
      <c r="B7" s="3" t="n">
        <v>4</v>
      </c>
      <c r="C7" s="3" t="n">
        <v>2</v>
      </c>
      <c r="D7" t="inlineStr">
        <is>
          <t>Marginal en este tipo de trabajo</t>
        </is>
      </c>
    </row>
    <row r="10">
      <c r="A10" t="inlineStr">
        <is>
          <t>Factor actualización (vs. primera vez)</t>
        </is>
      </c>
      <c r="B10" s="4" t="n">
        <v>0.45</v>
      </c>
    </row>
    <row r="11">
      <c r="A11" t="inlineStr">
        <is>
          <t>Tipo de cambio ARS por USD (opcional)</t>
        </is>
      </c>
      <c r="B11" s="5" t="n">
        <v>1</v>
      </c>
    </row>
    <row r="13">
      <c r="A13" s="1" t="inlineStr">
        <is>
          <t>Margen de precio sugerido (multiplicador sobre el costo de API)</t>
        </is>
      </c>
      <c r="B13" s="11" t="n">
        <v>2.5</v>
      </c>
    </row>
    <row r="14">
      <c r="A14" t="inlineStr">
        <is>
          <t>Margen de precio sugerido 2 (escenario conservador)</t>
        </is>
      </c>
      <c r="B14" s="1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46" customWidth="1" min="3" max="3"/>
    <col width="10" customWidth="1" min="4" max="4"/>
    <col width="14" customWidth="1" min="5" max="5"/>
    <col width="14" customWidth="1" min="6" max="6"/>
    <col width="10" customWidth="1" min="7" max="7"/>
    <col width="16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  <col width="20" customWidth="1" min="14" max="14"/>
    <col width="24" customWidth="1" min="15" max="15"/>
    <col width="26" customWidth="1" min="16" max="16"/>
  </cols>
  <sheetData>
    <row r="1">
      <c r="A1" s="1" t="inlineStr">
        <is>
          <t>Tokens y costo por canal y tamaño de base · Grande = escala real PAVIR/DRAKON (sesiones separadas por canal) · ±30%</t>
        </is>
      </c>
    </row>
    <row r="2">
      <c r="A2" t="inlineStr">
        <is>
          <t>Chica/Mediana ancladas a lo medido (TKVA, BETROX, EDFAN). Grande es ~2x la Mediana real, consistente con que PAVIR/DRAKON (un tablero grande armado en una sola sesión) salió USD 32-50: armar cada canal en sesiones separadas cuesta más por no compartir caché entre canales.</t>
        </is>
      </c>
    </row>
    <row r="3">
      <c r="A3" s="2" t="inlineStr">
        <is>
          <t>Canal</t>
        </is>
      </c>
      <c r="B3" s="2" t="inlineStr">
        <is>
          <t>Tamaño</t>
        </is>
      </c>
      <c r="C3" s="2" t="inlineStr">
        <is>
          <t>Qué significa el tamaño</t>
        </is>
      </c>
      <c r="D3" s="2" t="inlineStr">
        <is>
          <t>Pasos (llamadas)</t>
        </is>
      </c>
      <c r="E3" s="2" t="inlineStr">
        <is>
          <t>Contexto medio por paso (miles)</t>
        </is>
      </c>
      <c r="F3" s="2" t="inlineStr">
        <is>
          <t>Contexto nuevo escrito (miles)</t>
        </is>
      </c>
      <c r="G3" s="2" t="inlineStr">
        <is>
          <t>Salida (miles)</t>
        </is>
      </c>
      <c r="H3" s="2" t="inlineStr">
        <is>
          <t>Tokens · alta (cliente o canal nuevo, una sola vez)</t>
        </is>
      </c>
      <c r="I3" s="2" t="inlineStr">
        <is>
          <t>USD Opus · alta (una sola vez)</t>
        </is>
      </c>
      <c r="J3" s="2" t="inlineStr">
        <is>
          <t>Tokens · actualización con export nuevo (estructura ya hecha)</t>
        </is>
      </c>
      <c r="K3" s="2" t="inlineStr">
        <is>
          <t>USD Opus · actualización (cada export)</t>
        </is>
      </c>
      <c r="L3" s="2" t="inlineStr">
        <is>
          <t>USD Sonnet · actualización (cada export)</t>
        </is>
      </c>
      <c r="M3" s="2" t="inlineStr">
        <is>
          <t>ARS Opus · actualización</t>
        </is>
      </c>
      <c r="N3" s="12" t="inlineStr">
        <is>
          <t>Precio sugerido · alta (2,5x)</t>
        </is>
      </c>
      <c r="O3" s="12" t="inlineStr">
        <is>
          <t>Precio sugerido · actualización (2,5x)</t>
        </is>
      </c>
      <c r="P3" s="12" t="inlineStr">
        <is>
          <t>Precio sugerido · actualización (4x, conservador)</t>
        </is>
      </c>
    </row>
    <row r="4">
      <c r="A4" t="inlineStr">
        <is>
          <t>Prometheo (CRM)</t>
        </is>
      </c>
      <c r="B4" t="inlineStr">
        <is>
          <t>Chica</t>
        </is>
      </c>
      <c r="C4" t="inlineStr">
        <is>
          <t>hasta 300 contactos, ~25 columnas</t>
        </is>
      </c>
      <c r="D4" s="5" t="n">
        <v>35</v>
      </c>
      <c r="E4" s="5" t="n">
        <v>110</v>
      </c>
      <c r="F4" s="5" t="n">
        <v>776</v>
      </c>
      <c r="G4" s="5" t="n">
        <v>63</v>
      </c>
      <c r="H4" s="6">
        <f>(D4*E4+F4+G4)*1000</f>
        <v/>
      </c>
      <c r="I4" s="7">
        <f>(D4*E4*Precios!$B$4+F4*Precios!$B$5+G4*Precios!$B$6)/1000</f>
        <v/>
      </c>
      <c r="J4" s="6">
        <f>H4*Precios!$B$10</f>
        <v/>
      </c>
      <c r="K4" s="7">
        <f>I4*Precios!$B$10</f>
        <v/>
      </c>
      <c r="L4" s="7">
        <f>(D4*E4*Precios!$C$4+F4*Precios!$C$5+G4*Precios!$C$6)/1000*Precios!$B$10</f>
        <v/>
      </c>
      <c r="M4" s="6">
        <f>K4*Precios!$B$11</f>
        <v/>
      </c>
      <c r="N4" s="7">
        <f>I4*Precios!$B$13</f>
        <v/>
      </c>
      <c r="O4" s="7">
        <f>K4*Precios!$B$13</f>
        <v/>
      </c>
      <c r="P4" s="7">
        <f>K4*Precios!$B$14</f>
        <v/>
      </c>
    </row>
    <row r="5">
      <c r="A5" t="inlineStr">
        <is>
          <t>Prometheo (CRM)</t>
        </is>
      </c>
      <c r="B5" t="inlineStr">
        <is>
          <t>Mediana</t>
        </is>
      </c>
      <c r="C5" t="inlineStr">
        <is>
          <t>~1.000 contactos, ~40 columnas (BETROX, EDFAN)</t>
        </is>
      </c>
      <c r="D5" s="5" t="n">
        <v>61</v>
      </c>
      <c r="E5" s="5" t="n">
        <v>136</v>
      </c>
      <c r="F5" s="5" t="n">
        <v>1395</v>
      </c>
      <c r="G5" s="5" t="n">
        <v>124</v>
      </c>
      <c r="H5" s="6">
        <f>(D5*E5+F5+G5)*1000</f>
        <v/>
      </c>
      <c r="I5" s="7">
        <f>(D5*E5*Precios!$B$4+F5*Precios!$B$5+G5*Precios!$B$6)/1000</f>
        <v/>
      </c>
      <c r="J5" s="6">
        <f>H5*Precios!$B$10</f>
        <v/>
      </c>
      <c r="K5" s="7">
        <f>I5*Precios!$B$10</f>
        <v/>
      </c>
      <c r="L5" s="7">
        <f>(D5*E5*Precios!$C$4+F5*Precios!$C$5+G5*Precios!$C$6)/1000*Precios!$B$10</f>
        <v/>
      </c>
      <c r="M5" s="6">
        <f>K5*Precios!$B$11</f>
        <v/>
      </c>
      <c r="N5" s="7">
        <f>I5*Precios!$B$13</f>
        <v/>
      </c>
      <c r="O5" s="7">
        <f>K5*Precios!$B$13</f>
        <v/>
      </c>
      <c r="P5" s="7">
        <f>K5*Precios!$B$14</f>
        <v/>
      </c>
    </row>
    <row r="6">
      <c r="A6" t="inlineStr">
        <is>
          <t>Prometheo (CRM)</t>
        </is>
      </c>
      <c r="B6" t="inlineStr">
        <is>
          <t>Grande</t>
        </is>
      </c>
      <c r="C6" t="inlineStr">
        <is>
          <t>5.000+ contactos, 50+ columnas, varios embudos</t>
        </is>
      </c>
      <c r="D6" s="5" t="n">
        <v>88</v>
      </c>
      <c r="E6" s="5" t="n">
        <v>172</v>
      </c>
      <c r="F6" s="5" t="n">
        <v>3033</v>
      </c>
      <c r="G6" s="5" t="n">
        <v>270</v>
      </c>
      <c r="H6" s="6">
        <f>(D6*E6+F6+G6)*1000</f>
        <v/>
      </c>
      <c r="I6" s="7">
        <f>(D6*E6*Precios!$B$4+F6*Precios!$B$5+G6*Precios!$B$6)/1000</f>
        <v/>
      </c>
      <c r="J6" s="6">
        <f>H6*Precios!$B$10</f>
        <v/>
      </c>
      <c r="K6" s="7">
        <f>I6*Precios!$B$10</f>
        <v/>
      </c>
      <c r="L6" s="7">
        <f>(D6*E6*Precios!$C$4+F6*Precios!$C$5+G6*Precios!$C$6)/1000*Precios!$B$10</f>
        <v/>
      </c>
      <c r="M6" s="6">
        <f>K6*Precios!$B$11</f>
        <v/>
      </c>
      <c r="N6" s="7">
        <f>I6*Precios!$B$13</f>
        <v/>
      </c>
      <c r="O6" s="7">
        <f>K6*Precios!$B$13</f>
        <v/>
      </c>
      <c r="P6" s="7">
        <f>K6*Precios!$B$14</f>
        <v/>
      </c>
    </row>
    <row r="7">
      <c r="A7" t="inlineStr">
        <is>
          <t>Meta Ads</t>
        </is>
      </c>
      <c r="B7" t="inlineStr">
        <is>
          <t>Chica</t>
        </is>
      </c>
      <c r="C7" t="inlineStr">
        <is>
          <t>hasta 10 anuncios, 1 mes</t>
        </is>
      </c>
      <c r="D7" s="5" t="n">
        <v>25</v>
      </c>
      <c r="E7" s="5" t="n">
        <v>100</v>
      </c>
      <c r="F7" s="5" t="n">
        <v>569</v>
      </c>
      <c r="G7" s="5" t="n">
        <v>46</v>
      </c>
      <c r="H7" s="6">
        <f>(D7*E7+F7+G7)*1000</f>
        <v/>
      </c>
      <c r="I7" s="7">
        <f>(D7*E7*Precios!$B$4+F7*Precios!$B$5+G7*Precios!$B$6)/1000</f>
        <v/>
      </c>
      <c r="J7" s="6">
        <f>H7*Precios!$B$10</f>
        <v/>
      </c>
      <c r="K7" s="7">
        <f>I7*Precios!$B$10</f>
        <v/>
      </c>
      <c r="L7" s="7">
        <f>(D7*E7*Precios!$C$4+F7*Precios!$C$5+G7*Precios!$C$6)/1000*Precios!$B$10</f>
        <v/>
      </c>
      <c r="M7" s="6">
        <f>K7*Precios!$B$11</f>
        <v/>
      </c>
      <c r="N7" s="7">
        <f>I7*Precios!$B$13</f>
        <v/>
      </c>
      <c r="O7" s="7">
        <f>K7*Precios!$B$13</f>
        <v/>
      </c>
      <c r="P7" s="7">
        <f>K7*Precios!$B$14</f>
        <v/>
      </c>
    </row>
    <row r="8">
      <c r="A8" t="inlineStr">
        <is>
          <t>Meta Ads</t>
        </is>
      </c>
      <c r="B8" t="inlineStr">
        <is>
          <t>Mediana</t>
        </is>
      </c>
      <c r="C8" t="inlineStr">
        <is>
          <t>~30 anuncios, 3 meses</t>
        </is>
      </c>
      <c r="D8" s="5" t="n">
        <v>35</v>
      </c>
      <c r="E8" s="5" t="n">
        <v>116</v>
      </c>
      <c r="F8" s="5" t="n">
        <v>976</v>
      </c>
      <c r="G8" s="5" t="n">
        <v>85</v>
      </c>
      <c r="H8" s="6">
        <f>(D8*E8+F8+G8)*1000</f>
        <v/>
      </c>
      <c r="I8" s="7">
        <f>(D8*E8*Precios!$B$4+F8*Precios!$B$5+G8*Precios!$B$6)/1000</f>
        <v/>
      </c>
      <c r="J8" s="6">
        <f>H8*Precios!$B$10</f>
        <v/>
      </c>
      <c r="K8" s="7">
        <f>I8*Precios!$B$10</f>
        <v/>
      </c>
      <c r="L8" s="7">
        <f>(D8*E8*Precios!$C$4+F8*Precios!$C$5+G8*Precios!$C$6)/1000*Precios!$B$10</f>
        <v/>
      </c>
      <c r="M8" s="6">
        <f>K8*Precios!$B$11</f>
        <v/>
      </c>
      <c r="N8" s="7">
        <f>I8*Precios!$B$13</f>
        <v/>
      </c>
      <c r="O8" s="7">
        <f>K8*Precios!$B$13</f>
        <v/>
      </c>
      <c r="P8" s="7">
        <f>K8*Precios!$B$14</f>
        <v/>
      </c>
    </row>
    <row r="9">
      <c r="A9" t="inlineStr">
        <is>
          <t>Meta Ads</t>
        </is>
      </c>
      <c r="B9" t="inlineStr">
        <is>
          <t>Grande</t>
        </is>
      </c>
      <c r="C9" t="inlineStr">
        <is>
          <t>100+ anuncios, 12 meses con desglose diario</t>
        </is>
      </c>
      <c r="D9" s="5" t="n">
        <v>56</v>
      </c>
      <c r="E9" s="5" t="n">
        <v>144</v>
      </c>
      <c r="F9" s="5" t="n">
        <v>2095</v>
      </c>
      <c r="G9" s="5" t="n">
        <v>184</v>
      </c>
      <c r="H9" s="6">
        <f>(D9*E9+F9+G9)*1000</f>
        <v/>
      </c>
      <c r="I9" s="7">
        <f>(D9*E9*Precios!$B$4+F9*Precios!$B$5+G9*Precios!$B$6)/1000</f>
        <v/>
      </c>
      <c r="J9" s="6">
        <f>H9*Precios!$B$10</f>
        <v/>
      </c>
      <c r="K9" s="7">
        <f>I9*Precios!$B$10</f>
        <v/>
      </c>
      <c r="L9" s="7">
        <f>(D9*E9*Precios!$C$4+F9*Precios!$C$5+G9*Precios!$C$6)/1000*Precios!$B$10</f>
        <v/>
      </c>
      <c r="M9" s="6">
        <f>K9*Precios!$B$11</f>
        <v/>
      </c>
      <c r="N9" s="7">
        <f>I9*Precios!$B$13</f>
        <v/>
      </c>
      <c r="O9" s="7">
        <f>K9*Precios!$B$13</f>
        <v/>
      </c>
      <c r="P9" s="7">
        <f>K9*Precios!$B$14</f>
        <v/>
      </c>
    </row>
    <row r="10">
      <c r="A10" t="inlineStr">
        <is>
          <t>Google Ads</t>
        </is>
      </c>
      <c r="B10" t="inlineStr">
        <is>
          <t>Chica</t>
        </is>
      </c>
      <c r="C10" t="inlineStr">
        <is>
          <t>hasta 5 campañas, sin términos de búsqueda</t>
        </is>
      </c>
      <c r="D10" s="5" t="n">
        <v>25</v>
      </c>
      <c r="E10" s="5" t="n">
        <v>100</v>
      </c>
      <c r="F10" s="5" t="n">
        <v>569</v>
      </c>
      <c r="G10" s="5" t="n">
        <v>46</v>
      </c>
      <c r="H10" s="6">
        <f>(D10*E10+F10+G10)*1000</f>
        <v/>
      </c>
      <c r="I10" s="7">
        <f>(D10*E10*Precios!$B$4+F10*Precios!$B$5+G10*Precios!$B$6)/1000</f>
        <v/>
      </c>
      <c r="J10" s="6">
        <f>H10*Precios!$B$10</f>
        <v/>
      </c>
      <c r="K10" s="7">
        <f>I10*Precios!$B$10</f>
        <v/>
      </c>
      <c r="L10" s="7">
        <f>(D10*E10*Precios!$C$4+F10*Precios!$C$5+G10*Precios!$C$6)/1000*Precios!$B$10</f>
        <v/>
      </c>
      <c r="M10" s="6">
        <f>K10*Precios!$B$11</f>
        <v/>
      </c>
      <c r="N10" s="7">
        <f>I10*Precios!$B$13</f>
        <v/>
      </c>
      <c r="O10" s="7">
        <f>K10*Precios!$B$13</f>
        <v/>
      </c>
      <c r="P10" s="7">
        <f>K10*Precios!$B$14</f>
        <v/>
      </c>
    </row>
    <row r="11">
      <c r="A11" t="inlineStr">
        <is>
          <t>Google Ads</t>
        </is>
      </c>
      <c r="B11" t="inlineStr">
        <is>
          <t>Mediana</t>
        </is>
      </c>
      <c r="C11" t="inlineStr">
        <is>
          <t>~15 campañas con palabras clave</t>
        </is>
      </c>
      <c r="D11" s="5" t="n">
        <v>38</v>
      </c>
      <c r="E11" s="5" t="n">
        <v>121</v>
      </c>
      <c r="F11" s="5" t="n">
        <v>1046</v>
      </c>
      <c r="G11" s="5" t="n">
        <v>85</v>
      </c>
      <c r="H11" s="6">
        <f>(D11*E11+F11+G11)*1000</f>
        <v/>
      </c>
      <c r="I11" s="7">
        <f>(D11*E11*Precios!$B$4+F11*Precios!$B$5+G11*Precios!$B$6)/1000</f>
        <v/>
      </c>
      <c r="J11" s="6">
        <f>H11*Precios!$B$10</f>
        <v/>
      </c>
      <c r="K11" s="7">
        <f>I11*Precios!$B$10</f>
        <v/>
      </c>
      <c r="L11" s="7">
        <f>(D11*E11*Precios!$C$4+F11*Precios!$C$5+G11*Precios!$C$6)/1000*Precios!$B$10</f>
        <v/>
      </c>
      <c r="M11" s="6">
        <f>K11*Precios!$B$11</f>
        <v/>
      </c>
      <c r="N11" s="7">
        <f>I11*Precios!$B$13</f>
        <v/>
      </c>
      <c r="O11" s="7">
        <f>K11*Precios!$B$13</f>
        <v/>
      </c>
      <c r="P11" s="7">
        <f>K11*Precios!$B$14</f>
        <v/>
      </c>
    </row>
    <row r="12">
      <c r="A12" t="inlineStr">
        <is>
          <t>Google Ads</t>
        </is>
      </c>
      <c r="B12" t="inlineStr">
        <is>
          <t>Grande</t>
        </is>
      </c>
      <c r="C12" t="inlineStr">
        <is>
          <t>50+ campañas con términos de búsqueda</t>
        </is>
      </c>
      <c r="D12" s="5" t="n">
        <v>60</v>
      </c>
      <c r="E12" s="5" t="n">
        <v>150</v>
      </c>
      <c r="F12" s="5" t="n">
        <v>2205</v>
      </c>
      <c r="G12" s="5" t="n">
        <v>184</v>
      </c>
      <c r="H12" s="6">
        <f>(D12*E12+F12+G12)*1000</f>
        <v/>
      </c>
      <c r="I12" s="7">
        <f>(D12*E12*Precios!$B$4+F12*Precios!$B$5+G12*Precios!$B$6)/1000</f>
        <v/>
      </c>
      <c r="J12" s="6">
        <f>H12*Precios!$B$10</f>
        <v/>
      </c>
      <c r="K12" s="7">
        <f>I12*Precios!$B$10</f>
        <v/>
      </c>
      <c r="L12" s="7">
        <f>(D12*E12*Precios!$C$4+F12*Precios!$C$5+G12*Precios!$C$6)/1000*Precios!$B$10</f>
        <v/>
      </c>
      <c r="M12" s="6">
        <f>K12*Precios!$B$11</f>
        <v/>
      </c>
      <c r="N12" s="7">
        <f>I12*Precios!$B$13</f>
        <v/>
      </c>
      <c r="O12" s="7">
        <f>K12*Precios!$B$13</f>
        <v/>
      </c>
      <c r="P12" s="7">
        <f>K12*Precios!$B$14</f>
        <v/>
      </c>
    </row>
    <row r="13">
      <c r="A13" t="inlineStr">
        <is>
          <t>LinkedIn Ads</t>
        </is>
      </c>
      <c r="B13" t="inlineStr">
        <is>
          <t>Chica</t>
        </is>
      </c>
      <c r="C13" t="inlineStr">
        <is>
          <t>1 a 3 campañas</t>
        </is>
      </c>
      <c r="D13" s="5" t="n">
        <v>20</v>
      </c>
      <c r="E13" s="5" t="n">
        <v>95</v>
      </c>
      <c r="F13" s="5" t="n">
        <v>466</v>
      </c>
      <c r="G13" s="5" t="n">
        <v>40</v>
      </c>
      <c r="H13" s="6">
        <f>(D13*E13+F13+G13)*1000</f>
        <v/>
      </c>
      <c r="I13" s="7">
        <f>(D13*E13*Precios!$B$4+F13*Precios!$B$5+G13*Precios!$B$6)/1000</f>
        <v/>
      </c>
      <c r="J13" s="6">
        <f>H13*Precios!$B$10</f>
        <v/>
      </c>
      <c r="K13" s="7">
        <f>I13*Precios!$B$10</f>
        <v/>
      </c>
      <c r="L13" s="7">
        <f>(D13*E13*Precios!$C$4+F13*Precios!$C$5+G13*Precios!$C$6)/1000*Precios!$B$10</f>
        <v/>
      </c>
      <c r="M13" s="6">
        <f>K13*Precios!$B$11</f>
        <v/>
      </c>
      <c r="N13" s="7">
        <f>I13*Precios!$B$13</f>
        <v/>
      </c>
      <c r="O13" s="7">
        <f>K13*Precios!$B$13</f>
        <v/>
      </c>
      <c r="P13" s="7">
        <f>K13*Precios!$B$14</f>
        <v/>
      </c>
    </row>
    <row r="14">
      <c r="A14" t="inlineStr">
        <is>
          <t>LinkedIn Ads</t>
        </is>
      </c>
      <c r="B14" t="inlineStr">
        <is>
          <t>Mediana</t>
        </is>
      </c>
      <c r="C14" t="inlineStr">
        <is>
          <t>~10 campañas</t>
        </is>
      </c>
      <c r="D14" s="5" t="n">
        <v>29</v>
      </c>
      <c r="E14" s="5" t="n">
        <v>110</v>
      </c>
      <c r="F14" s="5" t="n">
        <v>803</v>
      </c>
      <c r="G14" s="5" t="n">
        <v>70</v>
      </c>
      <c r="H14" s="6">
        <f>(D14*E14+F14+G14)*1000</f>
        <v/>
      </c>
      <c r="I14" s="7">
        <f>(D14*E14*Precios!$B$4+F14*Precios!$B$5+G14*Precios!$B$6)/1000</f>
        <v/>
      </c>
      <c r="J14" s="6">
        <f>H14*Precios!$B$10</f>
        <v/>
      </c>
      <c r="K14" s="7">
        <f>I14*Precios!$B$10</f>
        <v/>
      </c>
      <c r="L14" s="7">
        <f>(D14*E14*Precios!$C$4+F14*Precios!$C$5+G14*Precios!$C$6)/1000*Precios!$B$10</f>
        <v/>
      </c>
      <c r="M14" s="6">
        <f>K14*Precios!$B$11</f>
        <v/>
      </c>
      <c r="N14" s="7">
        <f>I14*Precios!$B$13</f>
        <v/>
      </c>
      <c r="O14" s="7">
        <f>K14*Precios!$B$13</f>
        <v/>
      </c>
      <c r="P14" s="7">
        <f>K14*Precios!$B$14</f>
        <v/>
      </c>
    </row>
    <row r="15">
      <c r="A15" t="inlineStr">
        <is>
          <t>LinkedIn Ads</t>
        </is>
      </c>
      <c r="B15" t="inlineStr">
        <is>
          <t>Grande</t>
        </is>
      </c>
      <c r="C15" t="inlineStr">
        <is>
          <t>30+ campañas con datos demográficos</t>
        </is>
      </c>
      <c r="D15" s="5" t="n">
        <v>44</v>
      </c>
      <c r="E15" s="5" t="n">
        <v>132</v>
      </c>
      <c r="F15" s="5" t="n">
        <v>1654</v>
      </c>
      <c r="G15" s="5" t="n">
        <v>147</v>
      </c>
      <c r="H15" s="6">
        <f>(D15*E15+F15+G15)*1000</f>
        <v/>
      </c>
      <c r="I15" s="7">
        <f>(D15*E15*Precios!$B$4+F15*Precios!$B$5+G15*Precios!$B$6)/1000</f>
        <v/>
      </c>
      <c r="J15" s="6">
        <f>H15*Precios!$B$10</f>
        <v/>
      </c>
      <c r="K15" s="7">
        <f>I15*Precios!$B$10</f>
        <v/>
      </c>
      <c r="L15" s="7">
        <f>(D15*E15*Precios!$C$4+F15*Precios!$C$5+G15*Precios!$C$6)/1000*Precios!$B$10</f>
        <v/>
      </c>
      <c r="M15" s="6">
        <f>K15*Precios!$B$11</f>
        <v/>
      </c>
      <c r="N15" s="7">
        <f>I15*Precios!$B$13</f>
        <v/>
      </c>
      <c r="O15" s="7">
        <f>K15*Precios!$B$13</f>
        <v/>
      </c>
      <c r="P15" s="7">
        <f>K15*Precios!$B$14</f>
        <v/>
      </c>
    </row>
    <row r="16">
      <c r="A16" t="inlineStr">
        <is>
          <t>WhatsApp Marketing</t>
        </is>
      </c>
      <c r="B16" t="inlineStr">
        <is>
          <t>Chica</t>
        </is>
      </c>
      <c r="C16" t="inlineStr">
        <is>
          <t>1 o 2 envíos masivos</t>
        </is>
      </c>
      <c r="D16" s="5" t="n">
        <v>20</v>
      </c>
      <c r="E16" s="5" t="n">
        <v>95</v>
      </c>
      <c r="F16" s="5" t="n">
        <v>466</v>
      </c>
      <c r="G16" s="5" t="n">
        <v>40</v>
      </c>
      <c r="H16" s="6">
        <f>(D16*E16+F16+G16)*1000</f>
        <v/>
      </c>
      <c r="I16" s="7">
        <f>(D16*E16*Precios!$B$4+F16*Precios!$B$5+G16*Precios!$B$6)/1000</f>
        <v/>
      </c>
      <c r="J16" s="6">
        <f>H16*Precios!$B$10</f>
        <v/>
      </c>
      <c r="K16" s="7">
        <f>I16*Precios!$B$10</f>
        <v/>
      </c>
      <c r="L16" s="7">
        <f>(D16*E16*Precios!$C$4+F16*Precios!$C$5+G16*Precios!$C$6)/1000*Precios!$B$10</f>
        <v/>
      </c>
      <c r="M16" s="6">
        <f>K16*Precios!$B$11</f>
        <v/>
      </c>
      <c r="N16" s="7">
        <f>I16*Precios!$B$13</f>
        <v/>
      </c>
      <c r="O16" s="7">
        <f>K16*Precios!$B$13</f>
        <v/>
      </c>
      <c r="P16" s="7">
        <f>K16*Precios!$B$14</f>
        <v/>
      </c>
    </row>
    <row r="17">
      <c r="A17" t="inlineStr">
        <is>
          <t>WhatsApp Marketing</t>
        </is>
      </c>
      <c r="B17" t="inlineStr">
        <is>
          <t>Mediana</t>
        </is>
      </c>
      <c r="C17" t="inlineStr">
        <is>
          <t>~6 envíos</t>
        </is>
      </c>
      <c r="D17" s="5" t="n">
        <v>29</v>
      </c>
      <c r="E17" s="5" t="n">
        <v>110</v>
      </c>
      <c r="F17" s="5" t="n">
        <v>767</v>
      </c>
      <c r="G17" s="5" t="n">
        <v>70</v>
      </c>
      <c r="H17" s="6">
        <f>(D17*E17+F17+G17)*1000</f>
        <v/>
      </c>
      <c r="I17" s="7">
        <f>(D17*E17*Precios!$B$4+F17*Precios!$B$5+G17*Precios!$B$6)/1000</f>
        <v/>
      </c>
      <c r="J17" s="6">
        <f>H17*Precios!$B$10</f>
        <v/>
      </c>
      <c r="K17" s="7">
        <f>I17*Precios!$B$10</f>
        <v/>
      </c>
      <c r="L17" s="7">
        <f>(D17*E17*Precios!$C$4+F17*Precios!$C$5+G17*Precios!$C$6)/1000*Precios!$B$10</f>
        <v/>
      </c>
      <c r="M17" s="6">
        <f>K17*Precios!$B$11</f>
        <v/>
      </c>
      <c r="N17" s="7">
        <f>I17*Precios!$B$13</f>
        <v/>
      </c>
      <c r="O17" s="7">
        <f>K17*Precios!$B$13</f>
        <v/>
      </c>
      <c r="P17" s="7">
        <f>K17*Precios!$B$14</f>
        <v/>
      </c>
    </row>
    <row r="18">
      <c r="A18" t="inlineStr">
        <is>
          <t>WhatsApp Marketing</t>
        </is>
      </c>
      <c r="B18" t="inlineStr">
        <is>
          <t>Grande</t>
        </is>
      </c>
      <c r="C18" t="inlineStr">
        <is>
          <t>20+ envíos con plantillas y respuestas</t>
        </is>
      </c>
      <c r="D18" s="5" t="n">
        <v>42</v>
      </c>
      <c r="E18" s="5" t="n">
        <v>132</v>
      </c>
      <c r="F18" s="5" t="n">
        <v>1597</v>
      </c>
      <c r="G18" s="5" t="n">
        <v>147</v>
      </c>
      <c r="H18" s="6">
        <f>(D18*E18+F18+G18)*1000</f>
        <v/>
      </c>
      <c r="I18" s="7">
        <f>(D18*E18*Precios!$B$4+F18*Precios!$B$5+G18*Precios!$B$6)/1000</f>
        <v/>
      </c>
      <c r="J18" s="6">
        <f>H18*Precios!$B$10</f>
        <v/>
      </c>
      <c r="K18" s="7">
        <f>I18*Precios!$B$10</f>
        <v/>
      </c>
      <c r="L18" s="7">
        <f>(D18*E18*Precios!$C$4+F18*Precios!$C$5+G18*Precios!$C$6)/1000*Precios!$B$10</f>
        <v/>
      </c>
      <c r="M18" s="6">
        <f>K18*Precios!$B$11</f>
        <v/>
      </c>
      <c r="N18" s="7">
        <f>I18*Precios!$B$13</f>
        <v/>
      </c>
      <c r="O18" s="7">
        <f>K18*Precios!$B$13</f>
        <v/>
      </c>
      <c r="P18" s="7">
        <f>K18*Precios!$B$14</f>
        <v/>
      </c>
    </row>
    <row r="19">
      <c r="A19" t="inlineStr">
        <is>
          <t>Email Marketing</t>
        </is>
      </c>
      <c r="B19" t="inlineStr">
        <is>
          <t>Chica</t>
        </is>
      </c>
      <c r="C19" t="inlineStr">
        <is>
          <t>1 a 3 campañas</t>
        </is>
      </c>
      <c r="D19" s="5" t="n">
        <v>20</v>
      </c>
      <c r="E19" s="5" t="n">
        <v>95</v>
      </c>
      <c r="F19" s="5" t="n">
        <v>466</v>
      </c>
      <c r="G19" s="5" t="n">
        <v>40</v>
      </c>
      <c r="H19" s="6">
        <f>(D19*E19+F19+G19)*1000</f>
        <v/>
      </c>
      <c r="I19" s="7">
        <f>(D19*E19*Precios!$B$4+F19*Precios!$B$5+G19*Precios!$B$6)/1000</f>
        <v/>
      </c>
      <c r="J19" s="6">
        <f>H19*Precios!$B$10</f>
        <v/>
      </c>
      <c r="K19" s="7">
        <f>I19*Precios!$B$10</f>
        <v/>
      </c>
      <c r="L19" s="7">
        <f>(D19*E19*Precios!$C$4+F19*Precios!$C$5+G19*Precios!$C$6)/1000*Precios!$B$10</f>
        <v/>
      </c>
      <c r="M19" s="6">
        <f>K19*Precios!$B$11</f>
        <v/>
      </c>
      <c r="N19" s="7">
        <f>I19*Precios!$B$13</f>
        <v/>
      </c>
      <c r="O19" s="7">
        <f>K19*Precios!$B$13</f>
        <v/>
      </c>
      <c r="P19" s="7">
        <f>K19*Precios!$B$14</f>
        <v/>
      </c>
    </row>
    <row r="20">
      <c r="A20" t="inlineStr">
        <is>
          <t>Email Marketing</t>
        </is>
      </c>
      <c r="B20" t="inlineStr">
        <is>
          <t>Mediana</t>
        </is>
      </c>
      <c r="C20" t="inlineStr">
        <is>
          <t>~10 campañas</t>
        </is>
      </c>
      <c r="D20" s="5" t="n">
        <v>30</v>
      </c>
      <c r="E20" s="5" t="n">
        <v>110</v>
      </c>
      <c r="F20" s="5" t="n">
        <v>803</v>
      </c>
      <c r="G20" s="5" t="n">
        <v>70</v>
      </c>
      <c r="H20" s="6">
        <f>(D20*E20+F20+G20)*1000</f>
        <v/>
      </c>
      <c r="I20" s="7">
        <f>(D20*E20*Precios!$B$4+F20*Precios!$B$5+G20*Precios!$B$6)/1000</f>
        <v/>
      </c>
      <c r="J20" s="6">
        <f>H20*Precios!$B$10</f>
        <v/>
      </c>
      <c r="K20" s="7">
        <f>I20*Precios!$B$10</f>
        <v/>
      </c>
      <c r="L20" s="7">
        <f>(D20*E20*Precios!$C$4+F20*Precios!$C$5+G20*Precios!$C$6)/1000*Precios!$B$10</f>
        <v/>
      </c>
      <c r="M20" s="6">
        <f>K20*Precios!$B$11</f>
        <v/>
      </c>
      <c r="N20" s="7">
        <f>I20*Precios!$B$13</f>
        <v/>
      </c>
      <c r="O20" s="7">
        <f>K20*Precios!$B$13</f>
        <v/>
      </c>
      <c r="P20" s="7">
        <f>K20*Precios!$B$14</f>
        <v/>
      </c>
    </row>
    <row r="21">
      <c r="A21" t="inlineStr">
        <is>
          <t>Email Marketing</t>
        </is>
      </c>
      <c r="B21" t="inlineStr">
        <is>
          <t>Grande</t>
        </is>
      </c>
      <c r="C21" t="inlineStr">
        <is>
          <t>30+ campañas y flujos automáticos</t>
        </is>
      </c>
      <c r="D21" s="5" t="n">
        <v>45</v>
      </c>
      <c r="E21" s="5" t="n">
        <v>132</v>
      </c>
      <c r="F21" s="5" t="n">
        <v>1654</v>
      </c>
      <c r="G21" s="5" t="n">
        <v>147</v>
      </c>
      <c r="H21" s="6">
        <f>(D21*E21+F21+G21)*1000</f>
        <v/>
      </c>
      <c r="I21" s="7">
        <f>(D21*E21*Precios!$B$4+F21*Precios!$B$5+G21*Precios!$B$6)/1000</f>
        <v/>
      </c>
      <c r="J21" s="6">
        <f>H21*Precios!$B$10</f>
        <v/>
      </c>
      <c r="K21" s="7">
        <f>I21*Precios!$B$10</f>
        <v/>
      </c>
      <c r="L21" s="7">
        <f>(D21*E21*Precios!$C$4+F21*Precios!$C$5+G21*Precios!$C$6)/1000*Precios!$B$10</f>
        <v/>
      </c>
      <c r="M21" s="6">
        <f>K21*Precios!$B$11</f>
        <v/>
      </c>
      <c r="N21" s="7">
        <f>I21*Precios!$B$13</f>
        <v/>
      </c>
      <c r="O21" s="7">
        <f>K21*Precios!$B$13</f>
        <v/>
      </c>
      <c r="P21" s="7">
        <f>K21*Precios!$B$14</f>
        <v/>
      </c>
    </row>
    <row r="22">
      <c r="A22" t="inlineStr">
        <is>
          <t>Cruce omnicanal</t>
        </is>
      </c>
      <c r="B22" t="inlineStr">
        <is>
          <t>Chica</t>
        </is>
      </c>
      <c r="C22" t="inlineStr">
        <is>
          <t>2 o 3 canales</t>
        </is>
      </c>
      <c r="D22" s="5" t="n">
        <v>20</v>
      </c>
      <c r="E22" s="5" t="n">
        <v>140</v>
      </c>
      <c r="F22" s="5" t="n">
        <v>518</v>
      </c>
      <c r="G22" s="5" t="n">
        <v>46</v>
      </c>
      <c r="H22" s="6">
        <f>(D22*E22+F22+G22)*1000</f>
        <v/>
      </c>
      <c r="I22" s="7">
        <f>(D22*E22*Precios!$B$4+F22*Precios!$B$5+G22*Precios!$B$6)/1000</f>
        <v/>
      </c>
      <c r="J22" s="6">
        <f>H22*Precios!$B$10</f>
        <v/>
      </c>
      <c r="K22" s="7">
        <f>I22*Precios!$B$10</f>
        <v/>
      </c>
      <c r="L22" s="7">
        <f>(D22*E22*Precios!$C$4+F22*Precios!$C$5+G22*Precios!$C$6)/1000*Precios!$B$10</f>
        <v/>
      </c>
      <c r="M22" s="6">
        <f>K22*Precios!$B$11</f>
        <v/>
      </c>
      <c r="N22" s="7">
        <f>I22*Precios!$B$13</f>
        <v/>
      </c>
      <c r="O22" s="7">
        <f>K22*Precios!$B$13</f>
        <v/>
      </c>
      <c r="P22" s="7">
        <f>K22*Precios!$B$14</f>
        <v/>
      </c>
    </row>
    <row r="23">
      <c r="A23" t="inlineStr">
        <is>
          <t>Cruce omnicanal</t>
        </is>
      </c>
      <c r="B23" t="inlineStr">
        <is>
          <t>Mediana</t>
        </is>
      </c>
      <c r="C23" t="inlineStr">
        <is>
          <t>4 o 5 canales</t>
        </is>
      </c>
      <c r="D23" s="5" t="n">
        <v>33</v>
      </c>
      <c r="E23" s="5" t="n">
        <v>178</v>
      </c>
      <c r="F23" s="5" t="n">
        <v>1046</v>
      </c>
      <c r="G23" s="5" t="n">
        <v>93</v>
      </c>
      <c r="H23" s="6">
        <f>(D23*E23+F23+G23)*1000</f>
        <v/>
      </c>
      <c r="I23" s="7">
        <f>(D23*E23*Precios!$B$4+F23*Precios!$B$5+G23*Precios!$B$6)/1000</f>
        <v/>
      </c>
      <c r="J23" s="6">
        <f>H23*Precios!$B$10</f>
        <v/>
      </c>
      <c r="K23" s="7">
        <f>I23*Precios!$B$10</f>
        <v/>
      </c>
      <c r="L23" s="7">
        <f>(D23*E23*Precios!$C$4+F23*Precios!$C$5+G23*Precios!$C$6)/1000*Precios!$B$10</f>
        <v/>
      </c>
      <c r="M23" s="6">
        <f>K23*Precios!$B$11</f>
        <v/>
      </c>
      <c r="N23" s="7">
        <f>I23*Precios!$B$13</f>
        <v/>
      </c>
      <c r="O23" s="7">
        <f>K23*Precios!$B$13</f>
        <v/>
      </c>
      <c r="P23" s="7">
        <f>K23*Precios!$B$14</f>
        <v/>
      </c>
    </row>
    <row r="24">
      <c r="A24" t="inlineStr">
        <is>
          <t>Cruce omnicanal</t>
        </is>
      </c>
      <c r="B24" t="inlineStr">
        <is>
          <t>Grande</t>
        </is>
      </c>
      <c r="C24" t="inlineStr">
        <is>
          <t>6 canales con atribución cruzada</t>
        </is>
      </c>
      <c r="D24" s="5" t="n">
        <v>50</v>
      </c>
      <c r="E24" s="5" t="n">
        <v>230</v>
      </c>
      <c r="F24" s="5" t="n">
        <v>2205</v>
      </c>
      <c r="G24" s="5" t="n">
        <v>196</v>
      </c>
      <c r="H24" s="6">
        <f>(D24*E24+F24+G24)*1000</f>
        <v/>
      </c>
      <c r="I24" s="7">
        <f>(D24*E24*Precios!$B$4+F24*Precios!$B$5+G24*Precios!$B$6)/1000</f>
        <v/>
      </c>
      <c r="J24" s="6">
        <f>H24*Precios!$B$10</f>
        <v/>
      </c>
      <c r="K24" s="7">
        <f>I24*Precios!$B$10</f>
        <v/>
      </c>
      <c r="L24" s="7">
        <f>(D24*E24*Precios!$C$4+F24*Precios!$C$5+G24*Precios!$C$6)/1000*Precios!$B$10</f>
        <v/>
      </c>
      <c r="M24" s="6">
        <f>K24*Precios!$B$11</f>
        <v/>
      </c>
      <c r="N24" s="7">
        <f>I24*Precios!$B$13</f>
        <v/>
      </c>
      <c r="O24" s="7">
        <f>K24*Precios!$B$13</f>
        <v/>
      </c>
      <c r="P24" s="7">
        <f>K24*Precios!$B$14</f>
        <v/>
      </c>
    </row>
    <row r="26">
      <c r="A26" s="1" t="inlineStr">
        <is>
          <t>Tablero omnicanal completo · Chica</t>
        </is>
      </c>
      <c r="H26" s="8">
        <f>SUMIF($B$4:$B$24,"Chica",H$4:H$24)</f>
        <v/>
      </c>
      <c r="I26" s="9">
        <f>SUMIF($B$4:$B$24,"Chica",I$4:I$24)</f>
        <v/>
      </c>
      <c r="J26" s="8">
        <f>SUMIF($B$4:$B$24,"Chica",J$4:J$24)</f>
        <v/>
      </c>
      <c r="K26" s="9">
        <f>SUMIF($B$4:$B$24,"Chica",K$4:K$24)</f>
        <v/>
      </c>
      <c r="L26" s="9">
        <f>SUMIF($B$4:$B$24,"Chica",L$4:L$24)</f>
        <v/>
      </c>
      <c r="M26" s="8">
        <f>SUMIF($B$4:$B$24,"Chica",M$4:M$24)</f>
        <v/>
      </c>
      <c r="N26">
        <f>SUMIF($B$4:$B$24,"Chica",N$4:N$24)</f>
        <v/>
      </c>
      <c r="O26">
        <f>SUMIF($B$4:$B$24,"Chica",O$4:O$24)</f>
        <v/>
      </c>
      <c r="P26">
        <f>SUMIF($B$4:$B$24,"Chica",P$4:P$24)</f>
        <v/>
      </c>
    </row>
    <row r="27">
      <c r="A27" s="1" t="inlineStr">
        <is>
          <t>Tablero omnicanal completo · Mediana</t>
        </is>
      </c>
      <c r="H27" s="8">
        <f>SUMIF($B$4:$B$24,"Mediana",H$4:H$24)</f>
        <v/>
      </c>
      <c r="I27" s="9">
        <f>SUMIF($B$4:$B$24,"Mediana",I$4:I$24)</f>
        <v/>
      </c>
      <c r="J27" s="8">
        <f>SUMIF($B$4:$B$24,"Mediana",J$4:J$24)</f>
        <v/>
      </c>
      <c r="K27" s="9">
        <f>SUMIF($B$4:$B$24,"Mediana",K$4:K$24)</f>
        <v/>
      </c>
      <c r="L27" s="9">
        <f>SUMIF($B$4:$B$24,"Mediana",L$4:L$24)</f>
        <v/>
      </c>
      <c r="M27" s="8">
        <f>SUMIF($B$4:$B$24,"Mediana",M$4:M$24)</f>
        <v/>
      </c>
      <c r="N27">
        <f>SUMIF($B$4:$B$24,"Mediana",N$4:N$24)</f>
        <v/>
      </c>
      <c r="O27">
        <f>SUMIF($B$4:$B$24,"Mediana",O$4:O$24)</f>
        <v/>
      </c>
      <c r="P27">
        <f>SUMIF($B$4:$B$24,"Mediana",P$4:P$24)</f>
        <v/>
      </c>
    </row>
    <row r="28">
      <c r="A28" s="1" t="inlineStr">
        <is>
          <t>Tablero omnicanal completo · Grande</t>
        </is>
      </c>
      <c r="H28" s="8">
        <f>SUMIF($B$4:$B$24,"Grande",H$4:H$24)</f>
        <v/>
      </c>
      <c r="I28" s="9">
        <f>SUMIF($B$4:$B$24,"Grande",I$4:I$24)</f>
        <v/>
      </c>
      <c r="J28" s="8">
        <f>SUMIF($B$4:$B$24,"Grande",J$4:J$24)</f>
        <v/>
      </c>
      <c r="K28" s="9">
        <f>SUMIF($B$4:$B$24,"Grande",K$4:K$24)</f>
        <v/>
      </c>
      <c r="L28" s="9">
        <f>SUMIF($B$4:$B$24,"Grande",L$4:L$24)</f>
        <v/>
      </c>
      <c r="M28" s="8">
        <f>SUMIF($B$4:$B$24,"Grande",M$4:M$24)</f>
        <v/>
      </c>
      <c r="N28">
        <f>SUMIF($B$4:$B$24,"Grande",N$4:N$24)</f>
        <v/>
      </c>
      <c r="O28">
        <f>SUMIF($B$4:$B$24,"Grande",O$4:O$24)</f>
        <v/>
      </c>
      <c r="P28">
        <f>SUMIF($B$4:$B$24,"Grande",P$4:P$24)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18" customWidth="1" min="3" max="3"/>
    <col width="12" customWidth="1" min="4" max="4"/>
    <col width="14" customWidth="1" min="5" max="5"/>
  </cols>
  <sheetData>
    <row r="1">
      <c r="A1" s="1" t="inlineStr">
        <is>
          <t>Consumo real medido · tablero BETROX (942 contactos, 43 columnas, 8 pestañas, primera vez)</t>
        </is>
      </c>
    </row>
    <row r="3">
      <c r="A3" s="2" t="inlineStr">
        <is>
          <t>Fase</t>
        </is>
      </c>
      <c r="B3" s="2" t="inlineStr">
        <is>
          <t>Contexto nuevo escrito</t>
        </is>
      </c>
      <c r="C3" s="2" t="inlineStr">
        <is>
          <t>Lectura de caché</t>
        </is>
      </c>
      <c r="D3" s="2" t="inlineStr">
        <is>
          <t>Salida</t>
        </is>
      </c>
      <c r="E3" s="2" t="inlineStr">
        <is>
          <t>USD Opus 5.5</t>
        </is>
      </c>
    </row>
    <row r="4">
      <c r="A4" s="6" t="inlineStr">
        <is>
          <t>Análisis y curaduría del Excel</t>
        </is>
      </c>
      <c r="B4" s="6" t="n">
        <v>766278</v>
      </c>
      <c r="C4" s="6" t="n">
        <v>17467701</v>
      </c>
      <c r="D4" s="6" t="n">
        <v>42084</v>
      </c>
      <c r="E4" s="7">
        <f>(B4*Precios!$B$5+C4*Precios!$B$4+D4*Precios!$B$6)/1000000</f>
        <v/>
      </c>
    </row>
    <row r="5">
      <c r="A5" s="6" t="inlineStr">
        <is>
          <t>Componentes y generador</t>
        </is>
      </c>
      <c r="B5" s="6" t="n">
        <v>112558</v>
      </c>
      <c r="C5" s="6" t="n">
        <v>4729205</v>
      </c>
      <c r="D5" s="6" t="n">
        <v>47135</v>
      </c>
      <c r="E5" s="7">
        <f>(B5*Precios!$B$5+C5*Precios!$B$4+D5*Precios!$B$6)/1000000</f>
        <v/>
      </c>
    </row>
    <row r="6">
      <c r="A6" s="6" t="inlineStr">
        <is>
          <t>Armado del HTML</t>
        </is>
      </c>
      <c r="B6" s="6" t="n">
        <v>25603</v>
      </c>
      <c r="C6" s="6" t="n">
        <v>747799</v>
      </c>
      <c r="D6" s="6" t="n">
        <v>23756</v>
      </c>
      <c r="E6" s="7">
        <f>(B6*Precios!$B$5+C6*Precios!$B$4+D6*Precios!$B$6)/1000000</f>
        <v/>
      </c>
    </row>
    <row r="7">
      <c r="A7" s="6" t="inlineStr">
        <is>
          <t>Verificación y capturas</t>
        </is>
      </c>
      <c r="B7" s="6" t="n">
        <v>250965</v>
      </c>
      <c r="C7" s="6" t="n">
        <v>2189224</v>
      </c>
      <c r="D7" s="6" t="n">
        <v>8023</v>
      </c>
      <c r="E7" s="7">
        <f>(B7*Precios!$B$5+C7*Precios!$B$4+D7*Precios!$B$6)/1000000</f>
        <v/>
      </c>
    </row>
    <row r="8">
      <c r="A8" s="1" t="inlineStr">
        <is>
          <t>Total</t>
        </is>
      </c>
      <c r="B8" s="8">
        <f>SUM(B4:B7)</f>
        <v/>
      </c>
      <c r="C8" s="8">
        <f>SUM(C4:C7)</f>
        <v/>
      </c>
      <c r="D8" s="8">
        <f>SUM(D4:D7)</f>
        <v/>
      </c>
      <c r="E8" s="9">
        <f>SUM(E4:E7)</f>
        <v/>
      </c>
    </row>
    <row r="10">
      <c r="A10" t="inlineStr">
        <is>
          <t>Por qué la sesión real costó más que la proyección: se hizo al final de una conversación muy larga (cada paso releía ~400 mil tokens de contexto, con dos compactaciones). En una sesión nueva con el kit, cada paso relee ~100 a 150 mil.</t>
        </is>
      </c>
    </row>
    <row r="11">
      <c r="A11" t="inlineStr">
        <is>
          <t>Toda la sesión (8 tableros, kit, documentos): 9,2 M escritos · 286 M leídos de caché · 1,25 M de salida ≈ USD 156 a precio de API Opus 5.5.</t>
        </is>
      </c>
    </row>
    <row r="12">
      <c r="A12" s="1" t="inlineStr">
        <is>
          <t>Corrección: el primer cálculo (USD 16,70) incluía por error los primeros pasos del cálculo de tokens. El tablero BETROX solo: 25,8 M tokens · USD 14,42.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58" customWidth="1" min="3" max="3"/>
    <col width="10" customWidth="1" min="4" max="4"/>
    <col width="26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16" customWidth="1" min="11" max="11"/>
  </cols>
  <sheetData>
    <row r="1">
      <c r="A1" s="10" t="inlineStr">
        <is>
          <t>Tablero</t>
        </is>
      </c>
      <c r="B1" s="10" t="inlineStr">
        <is>
          <t>Datos</t>
        </is>
      </c>
      <c r="C1" s="10" t="inlineStr">
        <is>
          <t>Base que usó</t>
        </is>
      </c>
      <c r="D1" s="10" t="inlineStr">
        <is>
          <t>Pestañas</t>
        </is>
      </c>
      <c r="E1" s="10" t="inlineStr">
        <is>
          <t>Rondas de cambios</t>
        </is>
      </c>
      <c r="F1" s="10" t="inlineStr">
        <is>
          <t>Pasos</t>
        </is>
      </c>
      <c r="G1" s="10" t="inlineStr">
        <is>
          <t>Tokens (M)</t>
        </is>
      </c>
      <c r="H1" s="10" t="inlineStr">
        <is>
          <t>Contexto medio por paso (miles)</t>
        </is>
      </c>
      <c r="I1" s="10" t="inlineStr">
        <is>
          <t>USD a precio Opus 5.5</t>
        </is>
      </c>
      <c r="J1" s="10" t="inlineStr">
        <is>
          <t>USD real (modelo que se usó en ese momento)</t>
        </is>
      </c>
      <c r="K1" s="10" t="inlineStr">
        <is>
          <t>Modelo</t>
        </is>
      </c>
    </row>
    <row r="2">
      <c r="A2" t="inlineStr">
        <is>
          <t>DRAKON</t>
        </is>
      </c>
      <c r="B2" t="inlineStr">
        <is>
          <t>Ilustrativo</t>
        </is>
      </c>
      <c r="C2" t="inlineStr">
        <is>
          <t>Quincena: 74 mensajes, USD 271 mil de pauta, Meta + Google + Calor de muestra</t>
        </is>
      </c>
      <c r="D2" t="n">
        <v>9</v>
      </c>
      <c r="E2" t="inlineStr">
        <is>
          <t>Diseño + 2 rondas de Sofi</t>
        </is>
      </c>
      <c r="F2" t="n">
        <v>152</v>
      </c>
      <c r="G2" t="n">
        <v>58.3</v>
      </c>
      <c r="H2" t="n">
        <v>446</v>
      </c>
      <c r="I2" t="n">
        <v>32.23</v>
      </c>
      <c r="J2" t="n">
        <v>54.31</v>
      </c>
      <c r="K2" t="inlineStr">
        <is>
          <t>Opus 4.8</t>
        </is>
      </c>
    </row>
    <row r="3">
      <c r="A3" t="inlineStr">
        <is>
          <t>TKVA</t>
        </is>
      </c>
      <c r="B3" t="inlineStr">
        <is>
          <t>Real</t>
        </is>
      </c>
      <c r="C3" t="inlineStr">
        <is>
          <t>1.113 contactos × 30 columnas</t>
        </is>
      </c>
      <c r="D3" t="n">
        <v>8</v>
      </c>
      <c r="E3" t="inlineStr">
        <is>
          <t>1</t>
        </is>
      </c>
      <c r="F3" t="n">
        <v>21</v>
      </c>
      <c r="G3" t="n">
        <v>8.699999999999999</v>
      </c>
      <c r="H3" t="n">
        <v>391</v>
      </c>
      <c r="I3" t="n">
        <v>5.93</v>
      </c>
      <c r="J3" t="n">
        <v>9.470000000000001</v>
      </c>
      <c r="K3" t="inlineStr">
        <is>
          <t>Opus 4.8</t>
        </is>
      </c>
    </row>
    <row r="4">
      <c r="A4" t="inlineStr">
        <is>
          <t>PAVIR</t>
        </is>
      </c>
      <c r="B4" t="inlineStr">
        <is>
          <t>Ilustrativo</t>
        </is>
      </c>
      <c r="C4" t="inlineStr">
        <is>
          <t>4.950 consultas/mes, 700 distribuidores, pedidos, deuda, Meta, Google, email, WhatsApp</t>
        </is>
      </c>
      <c r="D4" t="n">
        <v>16</v>
      </c>
      <c r="E4" t="inlineStr">
        <is>
          <t>Base + 2 ampliaciones + ajustes</t>
        </is>
      </c>
      <c r="F4" t="n">
        <v>311</v>
      </c>
      <c r="G4" t="n">
        <v>111.6</v>
      </c>
      <c r="H4" t="n">
        <v>350</v>
      </c>
      <c r="I4" t="n">
        <v>50.08</v>
      </c>
      <c r="J4" t="n">
        <v>89.79000000000001</v>
      </c>
      <c r="K4" t="inlineStr">
        <is>
          <t>Opus 4.8 y Opus 5</t>
        </is>
      </c>
    </row>
    <row r="5">
      <c r="A5" t="inlineStr">
        <is>
          <t>EDFAN Real Estate</t>
        </is>
      </c>
      <c r="B5" t="inlineStr">
        <is>
          <t>Real</t>
        </is>
      </c>
      <c r="C5" t="inlineStr">
        <is>
          <t>1.017 contactos × 41 columnas</t>
        </is>
      </c>
      <c r="D5" t="n">
        <v>6</v>
      </c>
      <c r="E5" t="inlineStr">
        <is>
          <t>Tablero + curaduría completa</t>
        </is>
      </c>
      <c r="F5" t="n">
        <v>93</v>
      </c>
      <c r="G5" t="n">
        <v>39.8</v>
      </c>
      <c r="H5" t="n">
        <v>415</v>
      </c>
      <c r="I5" t="n">
        <v>17.89</v>
      </c>
      <c r="J5" t="n">
        <v>32.04</v>
      </c>
      <c r="K5" t="inlineStr">
        <is>
          <t>Opus 4.8 y Opus 5</t>
        </is>
      </c>
    </row>
    <row r="6">
      <c r="A6" t="inlineStr">
        <is>
          <t>BETROX</t>
        </is>
      </c>
      <c r="B6" t="inlineStr">
        <is>
          <t>Real</t>
        </is>
      </c>
      <c r="C6" t="inlineStr">
        <is>
          <t>942 contactos × 43 columnas</t>
        </is>
      </c>
      <c r="D6" t="n">
        <v>8</v>
      </c>
      <c r="E6" t="inlineStr">
        <is>
          <t>1 (primera vez)</t>
        </is>
      </c>
      <c r="F6" t="n">
        <v>59</v>
      </c>
      <c r="G6" t="n">
        <v>25.8</v>
      </c>
      <c r="H6" t="n">
        <v>420</v>
      </c>
      <c r="I6" t="n">
        <v>14.42</v>
      </c>
      <c r="J6" t="n">
        <v>14.42</v>
      </c>
      <c r="K6" t="inlineStr">
        <is>
          <t>Opus 5.5</t>
        </is>
      </c>
    </row>
    <row r="8">
      <c r="A8" t="inlineStr">
        <is>
          <t>Fuera de los tableros: skills de curaduría USD 10,66 · export MD USD 2,00 · reporte de metodologías USD 5,77 · kit USD 15,32 (precio Opus 5.5).</t>
        </is>
      </c>
    </row>
    <row r="9">
      <c r="A9" t="inlineStr">
        <is>
          <t>Lectura: en datos reales el costo lo mueve la curaduría (columnas, cruces, insights). En los ilustrativos lo movieron las rondas de diseño y la cantidad de pestañas, no el volumen de datos.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  <col width="18" customWidth="1" min="7" max="7"/>
    <col width="18" customWidth="1" min="8" max="8"/>
  </cols>
  <sheetData>
    <row r="1">
      <c r="A1" s="1" t="inlineStr">
        <is>
          <t>Costo por actualización (USD, Opus 5.5) aplicando mejoras que no sacrifican calidad</t>
        </is>
      </c>
    </row>
    <row r="2" ht="48" customHeight="1">
      <c r="A2" s="13" t="inlineStr">
        <is>
          <t>Paso 1: sesión nueva por export, sin compactación, y verificación con el verificador automático + 2 capturas (contexto nuevo escrito −36%). Paso 2: además, una sola sesión por cliente con todos los canales (caché compartido, −30%). Paso 3: además, pipeline propio por API con caché de 5 minutos (escritura USD 5 en vez de 8).</t>
        </is>
      </c>
    </row>
    <row r="4">
      <c r="A4" s="10" t="inlineStr">
        <is>
          <t>Canal</t>
        </is>
      </c>
      <c r="B4" s="10" t="inlineStr">
        <is>
          <t>Tamaño</t>
        </is>
      </c>
      <c r="C4" s="10" t="inlineStr">
        <is>
          <t>Hoy (cuadro)</t>
        </is>
      </c>
      <c r="D4" s="10" t="inlineStr">
        <is>
          <t>Paso 1</t>
        </is>
      </c>
      <c r="E4" s="10" t="inlineStr">
        <is>
          <t>Paso 2</t>
        </is>
      </c>
      <c r="F4" s="10" t="inlineStr">
        <is>
          <t>Paso 3</t>
        </is>
      </c>
      <c r="G4" s="10" t="inlineStr">
        <is>
          <t>Precio 2,5x sobre Paso 2</t>
        </is>
      </c>
      <c r="H4" s="10" t="inlineStr">
        <is>
          <t>Precio 4x sobre Paso 2</t>
        </is>
      </c>
    </row>
    <row r="5">
      <c r="A5" t="inlineStr">
        <is>
          <t>Prometheo (CRM)</t>
        </is>
      </c>
      <c r="B5" t="inlineStr">
        <is>
          <t>Chica</t>
        </is>
      </c>
      <c r="C5" s="7" t="n">
        <v>3.71</v>
      </c>
      <c r="D5" s="7" t="n">
        <v>2.7</v>
      </c>
      <c r="E5" s="7" t="n">
        <v>1.89</v>
      </c>
      <c r="F5" s="7" t="n">
        <v>1.42</v>
      </c>
      <c r="G5" s="7" t="n">
        <v>4.73</v>
      </c>
      <c r="H5" s="7" t="n">
        <v>7.56</v>
      </c>
    </row>
    <row r="6">
      <c r="A6" t="inlineStr">
        <is>
          <t>Prometheo (CRM)</t>
        </is>
      </c>
      <c r="B6" t="inlineStr">
        <is>
          <t>Mediana</t>
        </is>
      </c>
      <c r="C6" s="7" t="n">
        <v>6.88</v>
      </c>
      <c r="D6" s="7" t="n">
        <v>5.08</v>
      </c>
      <c r="E6" s="7" t="n">
        <v>3.55</v>
      </c>
      <c r="F6" s="7" t="n">
        <v>2.71</v>
      </c>
      <c r="G6" s="7" t="n">
        <v>8.880000000000001</v>
      </c>
      <c r="H6" s="7" t="n">
        <v>14.21</v>
      </c>
    </row>
    <row r="7">
      <c r="A7" t="inlineStr">
        <is>
          <t>Prometheo (CRM)</t>
        </is>
      </c>
      <c r="B7" t="inlineStr">
        <is>
          <t>Grande</t>
        </is>
      </c>
      <c r="C7" s="7" t="n">
        <v>14.71</v>
      </c>
      <c r="D7" s="7" t="n">
        <v>10.78</v>
      </c>
      <c r="E7" s="7" t="n">
        <v>7.55</v>
      </c>
      <c r="F7" s="7" t="n">
        <v>5.71</v>
      </c>
      <c r="G7" s="7" t="n">
        <v>18.87</v>
      </c>
      <c r="H7" s="7" t="n">
        <v>30.18</v>
      </c>
    </row>
    <row r="8">
      <c r="A8" t="inlineStr">
        <is>
          <t>Meta Ads</t>
        </is>
      </c>
      <c r="B8" t="inlineStr">
        <is>
          <t>Chica</t>
        </is>
      </c>
      <c r="C8" s="7" t="n">
        <v>2.69</v>
      </c>
      <c r="D8" s="7" t="n">
        <v>1.95</v>
      </c>
      <c r="E8" s="7" t="n">
        <v>1.36</v>
      </c>
      <c r="F8" s="7" t="n">
        <v>1.02</v>
      </c>
      <c r="G8" s="7" t="n">
        <v>3.41</v>
      </c>
      <c r="H8" s="7" t="n">
        <v>5.46</v>
      </c>
    </row>
    <row r="9">
      <c r="A9" t="inlineStr">
        <is>
          <t>Meta Ads</t>
        </is>
      </c>
      <c r="B9" t="inlineStr">
        <is>
          <t>Mediana</t>
        </is>
      </c>
      <c r="C9" s="7" t="n">
        <v>4.64</v>
      </c>
      <c r="D9" s="7" t="n">
        <v>3.38</v>
      </c>
      <c r="E9" s="7" t="n">
        <v>2.37</v>
      </c>
      <c r="F9" s="7" t="n">
        <v>1.78</v>
      </c>
      <c r="G9" s="7" t="n">
        <v>5.91</v>
      </c>
      <c r="H9" s="7" t="n">
        <v>9.460000000000001</v>
      </c>
    </row>
    <row r="10">
      <c r="A10" t="inlineStr">
        <is>
          <t>Meta Ads</t>
        </is>
      </c>
      <c r="B10" t="inlineStr">
        <is>
          <t>Grande</t>
        </is>
      </c>
      <c r="C10" s="7" t="n">
        <v>9.92</v>
      </c>
      <c r="D10" s="7" t="n">
        <v>7.21</v>
      </c>
      <c r="E10" s="7" t="n">
        <v>5.05</v>
      </c>
      <c r="F10" s="7" t="n">
        <v>3.78</v>
      </c>
      <c r="G10" s="7" t="n">
        <v>12.62</v>
      </c>
      <c r="H10" s="7" t="n">
        <v>20.18</v>
      </c>
    </row>
    <row r="11">
      <c r="A11" t="inlineStr">
        <is>
          <t>Google Ads</t>
        </is>
      </c>
      <c r="B11" t="inlineStr">
        <is>
          <t>Chica</t>
        </is>
      </c>
      <c r="C11" s="7" t="n">
        <v>2.69</v>
      </c>
      <c r="D11" s="7" t="n">
        <v>1.95</v>
      </c>
      <c r="E11" s="7" t="n">
        <v>1.36</v>
      </c>
      <c r="F11" s="7" t="n">
        <v>1.02</v>
      </c>
      <c r="G11" s="7" t="n">
        <v>3.41</v>
      </c>
      <c r="H11" s="7" t="n">
        <v>5.46</v>
      </c>
    </row>
    <row r="12">
      <c r="A12" t="inlineStr">
        <is>
          <t>Google Ads</t>
        </is>
      </c>
      <c r="B12" t="inlineStr">
        <is>
          <t>Mediana</t>
        </is>
      </c>
      <c r="C12" s="7" t="n">
        <v>4.94</v>
      </c>
      <c r="D12" s="7" t="n">
        <v>3.59</v>
      </c>
      <c r="E12" s="7" t="n">
        <v>2.51</v>
      </c>
      <c r="F12" s="7" t="n">
        <v>1.88</v>
      </c>
      <c r="G12" s="7" t="n">
        <v>6.28</v>
      </c>
      <c r="H12" s="7" t="n">
        <v>10.05</v>
      </c>
    </row>
    <row r="13">
      <c r="A13" t="inlineStr">
        <is>
          <t>Google Ads</t>
        </is>
      </c>
      <c r="B13" t="inlineStr">
        <is>
          <t>Grande</t>
        </is>
      </c>
      <c r="C13" s="7" t="n">
        <v>10.4</v>
      </c>
      <c r="D13" s="7" t="n">
        <v>7.55</v>
      </c>
      <c r="E13" s="7" t="n">
        <v>5.28</v>
      </c>
      <c r="F13" s="7" t="n">
        <v>3.95</v>
      </c>
      <c r="G13" s="7" t="n">
        <v>13.21</v>
      </c>
      <c r="H13" s="7" t="n">
        <v>21.13</v>
      </c>
    </row>
    <row r="14">
      <c r="A14" t="inlineStr">
        <is>
          <t>LinkedIn Ads</t>
        </is>
      </c>
      <c r="B14" t="inlineStr">
        <is>
          <t>Chica</t>
        </is>
      </c>
      <c r="C14" s="7" t="n">
        <v>2.21</v>
      </c>
      <c r="D14" s="7" t="n">
        <v>1.6</v>
      </c>
      <c r="E14" s="7" t="n">
        <v>1.12</v>
      </c>
      <c r="F14" s="7" t="n">
        <v>0.84</v>
      </c>
      <c r="G14" s="7" t="n">
        <v>2.81</v>
      </c>
      <c r="H14" s="7" t="n">
        <v>4.49</v>
      </c>
    </row>
    <row r="15">
      <c r="A15" t="inlineStr">
        <is>
          <t>LinkedIn Ads</t>
        </is>
      </c>
      <c r="B15" t="inlineStr">
        <is>
          <t>Mediana</t>
        </is>
      </c>
      <c r="C15" s="7" t="n">
        <v>3.81</v>
      </c>
      <c r="D15" s="7" t="n">
        <v>2.77</v>
      </c>
      <c r="E15" s="7" t="n">
        <v>1.94</v>
      </c>
      <c r="F15" s="7" t="n">
        <v>1.45</v>
      </c>
      <c r="G15" s="7" t="n">
        <v>4.84</v>
      </c>
      <c r="H15" s="7" t="n">
        <v>7.75</v>
      </c>
    </row>
    <row r="16">
      <c r="A16" t="inlineStr">
        <is>
          <t>LinkedIn Ads</t>
        </is>
      </c>
      <c r="B16" t="inlineStr">
        <is>
          <t>Grande</t>
        </is>
      </c>
      <c r="C16" s="7" t="n">
        <v>7.8</v>
      </c>
      <c r="D16" s="7" t="n">
        <v>5.66</v>
      </c>
      <c r="E16" s="7" t="n">
        <v>3.96</v>
      </c>
      <c r="F16" s="7" t="n">
        <v>2.96</v>
      </c>
      <c r="G16" s="7" t="n">
        <v>9.9</v>
      </c>
      <c r="H16" s="7" t="n">
        <v>15.84</v>
      </c>
    </row>
    <row r="17">
      <c r="A17" t="inlineStr">
        <is>
          <t>WhatsApp Marketing</t>
        </is>
      </c>
      <c r="B17" t="inlineStr">
        <is>
          <t>Chica</t>
        </is>
      </c>
      <c r="C17" s="7" t="n">
        <v>2.21</v>
      </c>
      <c r="D17" s="7" t="n">
        <v>1.6</v>
      </c>
      <c r="E17" s="7" t="n">
        <v>1.12</v>
      </c>
      <c r="F17" s="7" t="n">
        <v>0.84</v>
      </c>
      <c r="G17" s="7" t="n">
        <v>2.81</v>
      </c>
      <c r="H17" s="7" t="n">
        <v>4.49</v>
      </c>
    </row>
    <row r="18">
      <c r="A18" t="inlineStr">
        <is>
          <t>WhatsApp Marketing</t>
        </is>
      </c>
      <c r="B18" t="inlineStr">
        <is>
          <t>Mediana</t>
        </is>
      </c>
      <c r="C18" s="7" t="n">
        <v>3.68</v>
      </c>
      <c r="D18" s="7" t="n">
        <v>2.68</v>
      </c>
      <c r="E18" s="7" t="n">
        <v>1.88</v>
      </c>
      <c r="F18" s="7" t="n">
        <v>1.42</v>
      </c>
      <c r="G18" s="7" t="n">
        <v>4.7</v>
      </c>
      <c r="H18" s="7" t="n">
        <v>7.52</v>
      </c>
    </row>
    <row r="19">
      <c r="A19" t="inlineStr">
        <is>
          <t>WhatsApp Marketing</t>
        </is>
      </c>
      <c r="B19" t="inlineStr">
        <is>
          <t>Grande</t>
        </is>
      </c>
      <c r="C19" s="7" t="n">
        <v>7.57</v>
      </c>
      <c r="D19" s="7" t="n">
        <v>5.5</v>
      </c>
      <c r="E19" s="7" t="n">
        <v>3.85</v>
      </c>
      <c r="F19" s="7" t="n">
        <v>2.89</v>
      </c>
      <c r="G19" s="7" t="n">
        <v>9.630000000000001</v>
      </c>
      <c r="H19" s="7" t="n">
        <v>15.4</v>
      </c>
    </row>
    <row r="20">
      <c r="A20" t="inlineStr">
        <is>
          <t>Email Marketing</t>
        </is>
      </c>
      <c r="B20" t="inlineStr">
        <is>
          <t>Chica</t>
        </is>
      </c>
      <c r="C20" s="7" t="n">
        <v>2.21</v>
      </c>
      <c r="D20" s="7" t="n">
        <v>1.6</v>
      </c>
      <c r="E20" s="7" t="n">
        <v>1.12</v>
      </c>
      <c r="F20" s="7" t="n">
        <v>0.84</v>
      </c>
      <c r="G20" s="7" t="n">
        <v>2.81</v>
      </c>
      <c r="H20" s="7" t="n">
        <v>4.49</v>
      </c>
    </row>
    <row r="21">
      <c r="A21" t="inlineStr">
        <is>
          <t>Email Marketing</t>
        </is>
      </c>
      <c r="B21" t="inlineStr">
        <is>
          <t>Mediana</t>
        </is>
      </c>
      <c r="C21" s="7" t="n">
        <v>3.82</v>
      </c>
      <c r="D21" s="7" t="n">
        <v>2.78</v>
      </c>
      <c r="E21" s="7" t="n">
        <v>1.94</v>
      </c>
      <c r="F21" s="7" t="n">
        <v>1.46</v>
      </c>
      <c r="G21" s="7" t="n">
        <v>4.86</v>
      </c>
      <c r="H21" s="7" t="n">
        <v>7.78</v>
      </c>
    </row>
    <row r="22">
      <c r="A22" t="inlineStr">
        <is>
          <t>Email Marketing</t>
        </is>
      </c>
      <c r="B22" t="inlineStr">
        <is>
          <t>Grande</t>
        </is>
      </c>
      <c r="C22" s="7" t="n">
        <v>7.81</v>
      </c>
      <c r="D22" s="7" t="n">
        <v>5.67</v>
      </c>
      <c r="E22" s="7" t="n">
        <v>3.97</v>
      </c>
      <c r="F22" s="7" t="n">
        <v>2.97</v>
      </c>
      <c r="G22" s="7" t="n">
        <v>9.92</v>
      </c>
      <c r="H22" s="7" t="n">
        <v>15.87</v>
      </c>
    </row>
    <row r="23">
      <c r="A23" t="inlineStr">
        <is>
          <t>Cruce omnicanal</t>
        </is>
      </c>
      <c r="B23" t="inlineStr">
        <is>
          <t>Chica</t>
        </is>
      </c>
      <c r="C23" s="7" t="n">
        <v>2.53</v>
      </c>
      <c r="D23" s="7" t="n">
        <v>1.86</v>
      </c>
      <c r="E23" s="7" t="n">
        <v>1.3</v>
      </c>
      <c r="F23" s="7" t="n">
        <v>0.99</v>
      </c>
      <c r="G23" s="7" t="n">
        <v>3.25</v>
      </c>
      <c r="H23" s="7" t="n">
        <v>5.21</v>
      </c>
    </row>
    <row r="24">
      <c r="A24" t="inlineStr">
        <is>
          <t>Cruce omnicanal</t>
        </is>
      </c>
      <c r="B24" t="inlineStr">
        <is>
          <t>Mediana</t>
        </is>
      </c>
      <c r="C24" s="7" t="n">
        <v>5.13</v>
      </c>
      <c r="D24" s="7" t="n">
        <v>3.78</v>
      </c>
      <c r="E24" s="7" t="n">
        <v>2.64</v>
      </c>
      <c r="F24" s="7" t="n">
        <v>2.01</v>
      </c>
      <c r="G24" s="7" t="n">
        <v>6.61</v>
      </c>
      <c r="H24" s="7" t="n">
        <v>10.57</v>
      </c>
    </row>
    <row r="25">
      <c r="A25" t="inlineStr">
        <is>
          <t>Cruce omnicanal</t>
        </is>
      </c>
      <c r="B25" t="inlineStr">
        <is>
          <t>Grande</t>
        </is>
      </c>
      <c r="C25" s="7" t="n">
        <v>10.74</v>
      </c>
      <c r="D25" s="7" t="n">
        <v>7.88</v>
      </c>
      <c r="E25" s="7" t="n">
        <v>5.52</v>
      </c>
      <c r="F25" s="7" t="n">
        <v>4.18</v>
      </c>
      <c r="G25" s="7" t="n">
        <v>13.79</v>
      </c>
      <c r="H25" s="7" t="n">
        <v>22.06</v>
      </c>
    </row>
    <row r="27">
      <c r="A27" s="1" t="inlineStr">
        <is>
          <t>Tablero completo · Chica</t>
        </is>
      </c>
      <c r="C27" s="9" t="n">
        <v>18.24</v>
      </c>
      <c r="D27" s="9" t="n">
        <v>13.27</v>
      </c>
      <c r="E27" s="9" t="n">
        <v>9.289999999999999</v>
      </c>
      <c r="F27" s="9" t="n">
        <v>6.98</v>
      </c>
      <c r="G27" s="9" t="n">
        <v>23.23</v>
      </c>
      <c r="H27" s="9" t="n">
        <v>37.17</v>
      </c>
    </row>
    <row r="28">
      <c r="A28" s="1" t="inlineStr">
        <is>
          <t>Tablero completo · Mediana</t>
        </is>
      </c>
      <c r="C28" s="9" t="n">
        <v>32.91</v>
      </c>
      <c r="D28" s="9" t="n">
        <v>24.05</v>
      </c>
      <c r="E28" s="9" t="n">
        <v>16.83</v>
      </c>
      <c r="F28" s="9" t="n">
        <v>12.7</v>
      </c>
      <c r="G28" s="9" t="n">
        <v>42.09</v>
      </c>
      <c r="H28" s="9" t="n">
        <v>67.34</v>
      </c>
    </row>
    <row r="29">
      <c r="A29" s="1" t="inlineStr">
        <is>
          <t>Tablero completo · Grande</t>
        </is>
      </c>
      <c r="C29" s="9" t="n">
        <v>68.95999999999999</v>
      </c>
      <c r="D29" s="9" t="n">
        <v>50.24</v>
      </c>
      <c r="E29" s="9" t="n">
        <v>35.17</v>
      </c>
      <c r="F29" s="9" t="n">
        <v>26.43</v>
      </c>
      <c r="G29" s="9" t="n">
        <v>87.92</v>
      </c>
      <c r="H29" s="9" t="n">
        <v>140.67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2026-10-03T21:22:36Z</dcterms:created>
  <dcterms:modified xsi:type="dcterms:W3CDTF">2026-10-03T21:40:08Z</dcterms:modified>
</cp:coreProperties>
</file>